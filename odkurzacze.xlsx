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amil\Desktop\studia\semestr_5\Wspomaganie_decyzji\wspomaganie_decyzji_projekt\"/>
    </mc:Choice>
  </mc:AlternateContent>
  <xr:revisionPtr revIDLastSave="0" documentId="13_ncr:1_{5C15EEFF-FAEF-4790-A2D2-C37D0F601DA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rkusz1" sheetId="1" r:id="rId1"/>
    <sheet name="Arkusz3" sheetId="3" r:id="rId2"/>
    <sheet name="Arkusz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0" i="1" l="1"/>
  <c r="A22" i="1"/>
  <c r="A18" i="1"/>
  <c r="A25" i="1"/>
  <c r="A14" i="1"/>
  <c r="A6" i="1"/>
  <c r="A27" i="1"/>
  <c r="A12" i="1"/>
  <c r="A8" i="1"/>
  <c r="A31" i="1"/>
  <c r="A23" i="1"/>
  <c r="A24" i="1"/>
  <c r="A21" i="1"/>
  <c r="A19" i="1"/>
  <c r="A7" i="1"/>
  <c r="A10" i="1"/>
  <c r="A11" i="1"/>
  <c r="A5" i="1"/>
  <c r="A26" i="1"/>
  <c r="A28" i="1"/>
  <c r="A16" i="1"/>
  <c r="A9" i="1"/>
  <c r="A3" i="1"/>
  <c r="A15" i="1"/>
  <c r="A4" i="1"/>
  <c r="A2" i="1"/>
  <c r="A17" i="1"/>
  <c r="A13" i="1"/>
  <c r="A20" i="1"/>
  <c r="A29" i="1"/>
</calcChain>
</file>

<file path=xl/sharedStrings.xml><?xml version="1.0" encoding="utf-8"?>
<sst xmlns="http://schemas.openxmlformats.org/spreadsheetml/2006/main" count="113" uniqueCount="90">
  <si>
    <t>https://www.mediaexpert.pl/agd-male/sprzatanie/odkurzacze-standardowe</t>
  </si>
  <si>
    <t>marka</t>
  </si>
  <si>
    <t>model</t>
  </si>
  <si>
    <t>cena</t>
  </si>
  <si>
    <t>halas [dB]</t>
  </si>
  <si>
    <t>zasieg_pracy [m]</t>
  </si>
  <si>
    <t>waga [kg]</t>
  </si>
  <si>
    <t>ELECTROLUX </t>
  </si>
  <si>
    <t>Silence PD82-ALRG</t>
  </si>
  <si>
    <t>HOOVER</t>
  </si>
  <si>
    <t>H-Energy 700</t>
  </si>
  <si>
    <t>ELECTROLUX</t>
  </si>
  <si>
    <t>PowerForce</t>
  </si>
  <si>
    <t>TEFAL</t>
  </si>
  <si>
    <t>Compact Power XXL Total Clean</t>
  </si>
  <si>
    <t>moc_nominlana [W]</t>
  </si>
  <si>
    <t>H-Energy 300</t>
  </si>
  <si>
    <t>Clean 300</t>
  </si>
  <si>
    <t>GOTZE_JENSEN</t>
  </si>
  <si>
    <t>BV200</t>
  </si>
  <si>
    <t>H-Energy 500</t>
  </si>
  <si>
    <t>ZELMER</t>
  </si>
  <si>
    <t>Kuba</t>
  </si>
  <si>
    <t xml:space="preserve">pojemnosc_worka [l] </t>
  </si>
  <si>
    <t>AMICA</t>
  </si>
  <si>
    <t>VM 1054 Silo</t>
  </si>
  <si>
    <t xml:space="preserve">MIELE </t>
  </si>
  <si>
    <t>Boost CX1 PowerLine</t>
  </si>
  <si>
    <t>seria 600</t>
  </si>
  <si>
    <t>BOSCH</t>
  </si>
  <si>
    <t>BGB6X330</t>
  </si>
  <si>
    <t>Clean 500</t>
  </si>
  <si>
    <t>BGS05A322</t>
  </si>
  <si>
    <t>BGLS2BA1</t>
  </si>
  <si>
    <t>Bagio Eco VM 3045</t>
  </si>
  <si>
    <t>Compact Power TW3931</t>
  </si>
  <si>
    <t>BEKO</t>
  </si>
  <si>
    <t>VCC34801AW</t>
  </si>
  <si>
    <t>BGL6POW1</t>
  </si>
  <si>
    <t>Silence PD82-4MB</t>
  </si>
  <si>
    <t>Sharq VM 7011</t>
  </si>
  <si>
    <t>Fen Turbo VM 2062</t>
  </si>
  <si>
    <t>HYUNDAI</t>
  </si>
  <si>
    <t>VC 014</t>
  </si>
  <si>
    <t>VC900</t>
  </si>
  <si>
    <t>VC009</t>
  </si>
  <si>
    <t>BLAUPUNKT</t>
  </si>
  <si>
    <t>VCC301</t>
  </si>
  <si>
    <t>PHILIPS</t>
  </si>
  <si>
    <t>Series 2000 XB2125/09</t>
  </si>
  <si>
    <t>Fen Turbo Pro VM 2064</t>
  </si>
  <si>
    <t>Antek</t>
  </si>
  <si>
    <t>id</t>
  </si>
  <si>
    <t>BL-VCC301</t>
  </si>
  <si>
    <t>HY-VC 014</t>
  </si>
  <si>
    <t>HY-VC009</t>
  </si>
  <si>
    <t>BE-VCC34801AW</t>
  </si>
  <si>
    <t>GO-BV200</t>
  </si>
  <si>
    <t>BO-BGLS2BA1</t>
  </si>
  <si>
    <t>AM-VM 1054 Silo</t>
  </si>
  <si>
    <t>AM-Fen Turbo VM 2062</t>
  </si>
  <si>
    <t>AM-Bagio Eco VM 3045</t>
  </si>
  <si>
    <t>TE-Compact Power TW3931</t>
  </si>
  <si>
    <t>ZE-Kuba</t>
  </si>
  <si>
    <t>AM-Fen Turbo Pro VM 2064</t>
  </si>
  <si>
    <t>EL-Clean 300</t>
  </si>
  <si>
    <t>GO-VC900</t>
  </si>
  <si>
    <t>AM-Sharq VM 7011</t>
  </si>
  <si>
    <t>PH-Series 2000 XB2125/09</t>
  </si>
  <si>
    <t>TE-Compact Power XXL Total Clean</t>
  </si>
  <si>
    <t>BO-BGS05A322</t>
  </si>
  <si>
    <t>ZE-Antek</t>
  </si>
  <si>
    <t>EL-Clean 500</t>
  </si>
  <si>
    <t>EL-PowerForce</t>
  </si>
  <si>
    <t>EL-seria 600</t>
  </si>
  <si>
    <t>BO-BGB6X330</t>
  </si>
  <si>
    <t>HO-H-Energy 300</t>
  </si>
  <si>
    <t>BO-BGL6POW1</t>
  </si>
  <si>
    <t>HO-H-Energy 500</t>
  </si>
  <si>
    <t>EL-Silence PD82-4MB</t>
  </si>
  <si>
    <t>EL-Silence PD82-ALRG</t>
  </si>
  <si>
    <t>HO-H-Energy 700</t>
  </si>
  <si>
    <t>MI-Boost CX1 PowerLine</t>
  </si>
  <si>
    <t>c</t>
  </si>
  <si>
    <t>g</t>
  </si>
  <si>
    <t>moc_nominlana</t>
  </si>
  <si>
    <t>halas</t>
  </si>
  <si>
    <t>pojemnosc_worka</t>
  </si>
  <si>
    <t>zasieg_pracy</t>
  </si>
  <si>
    <t>waga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</si>
</sst>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opLeftCell="A13" workbookViewId="0">
      <selection sqref="A1:I31"/>
    </sheetView>
  </sheetViews>
  <sheetFormatPr defaultRowHeight="14.4" x14ac:dyDescent="0.3"/>
  <cols>
    <col min="1" max="1" width="20.44140625" customWidth="1"/>
    <col min="2" max="2" width="14.44140625" bestFit="1" customWidth="1"/>
    <col min="3" max="3" width="29.33203125" bestFit="1" customWidth="1"/>
    <col min="4" max="4" width="9.109375" style="1"/>
    <col min="6" max="6" width="19.109375" bestFit="1" customWidth="1"/>
    <col min="7" max="7" width="20.33203125" bestFit="1" customWidth="1"/>
    <col min="8" max="8" width="15.88671875" bestFit="1" customWidth="1"/>
  </cols>
  <sheetData>
    <row r="1" spans="1:9" x14ac:dyDescent="0.3">
      <c r="A1" t="s">
        <v>52</v>
      </c>
      <c r="B1" t="s">
        <v>1</v>
      </c>
      <c r="C1" t="s">
        <v>2</v>
      </c>
      <c r="D1" s="1" t="s">
        <v>3</v>
      </c>
      <c r="E1" t="s">
        <v>4</v>
      </c>
      <c r="F1" t="s">
        <v>15</v>
      </c>
      <c r="G1" t="s">
        <v>23</v>
      </c>
      <c r="H1" t="s">
        <v>5</v>
      </c>
      <c r="I1" t="s">
        <v>6</v>
      </c>
    </row>
    <row r="2" spans="1:9" x14ac:dyDescent="0.3">
      <c r="A2" t="str">
        <f t="shared" ref="A2:A31" si="0">_xlfn.CONCAT(MID(B2,1,2),"-",C2)</f>
        <v>BL-VCC301</v>
      </c>
      <c r="B2" t="s">
        <v>46</v>
      </c>
      <c r="C2" t="s">
        <v>47</v>
      </c>
      <c r="D2" s="1">
        <v>229.99</v>
      </c>
      <c r="E2" s="3">
        <v>77</v>
      </c>
      <c r="F2" s="3">
        <v>700</v>
      </c>
      <c r="G2" s="2">
        <v>1.2</v>
      </c>
      <c r="H2" s="2">
        <v>7.5</v>
      </c>
      <c r="I2" s="1">
        <v>4.5999999999999996</v>
      </c>
    </row>
    <row r="3" spans="1:9" x14ac:dyDescent="0.3">
      <c r="A3" t="str">
        <f t="shared" si="0"/>
        <v>HY-VC 014</v>
      </c>
      <c r="B3" t="s">
        <v>42</v>
      </c>
      <c r="C3" t="s">
        <v>43</v>
      </c>
      <c r="D3" s="1">
        <v>235.59</v>
      </c>
      <c r="E3" s="3">
        <v>78</v>
      </c>
      <c r="F3" s="3">
        <v>800</v>
      </c>
      <c r="G3" s="2">
        <v>1</v>
      </c>
      <c r="H3" s="2">
        <v>8</v>
      </c>
      <c r="I3" s="1">
        <v>4.5</v>
      </c>
    </row>
    <row r="4" spans="1:9" x14ac:dyDescent="0.3">
      <c r="A4" t="str">
        <f t="shared" si="0"/>
        <v>HY-VC009</v>
      </c>
      <c r="B4" t="s">
        <v>42</v>
      </c>
      <c r="C4" t="s">
        <v>45</v>
      </c>
      <c r="D4" s="1">
        <v>239.35</v>
      </c>
      <c r="E4" s="3">
        <v>80</v>
      </c>
      <c r="F4" s="3">
        <v>700</v>
      </c>
      <c r="G4" s="2">
        <v>1.5</v>
      </c>
      <c r="H4" s="2">
        <v>8</v>
      </c>
      <c r="I4" s="1">
        <v>4.2</v>
      </c>
    </row>
    <row r="5" spans="1:9" x14ac:dyDescent="0.3">
      <c r="A5" t="str">
        <f t="shared" si="0"/>
        <v>BE-VCC34801AW</v>
      </c>
      <c r="B5" t="s">
        <v>36</v>
      </c>
      <c r="C5" t="s">
        <v>37</v>
      </c>
      <c r="D5" s="1">
        <v>249</v>
      </c>
      <c r="E5" s="3">
        <v>80</v>
      </c>
      <c r="F5" s="3">
        <v>800</v>
      </c>
      <c r="G5" s="2">
        <v>2.1</v>
      </c>
      <c r="H5" s="2">
        <v>7.5</v>
      </c>
      <c r="I5" s="1">
        <v>4.5999999999999996</v>
      </c>
    </row>
    <row r="6" spans="1:9" x14ac:dyDescent="0.3">
      <c r="A6" t="str">
        <f t="shared" si="0"/>
        <v>GO-BV200</v>
      </c>
      <c r="B6" t="s">
        <v>18</v>
      </c>
      <c r="C6" t="s">
        <v>19</v>
      </c>
      <c r="D6" s="1">
        <v>299.95</v>
      </c>
      <c r="E6" s="3">
        <v>80</v>
      </c>
      <c r="F6" s="3">
        <v>700</v>
      </c>
      <c r="G6" s="2">
        <v>2</v>
      </c>
      <c r="H6" s="2">
        <v>7.7</v>
      </c>
      <c r="I6" s="1">
        <v>5.7</v>
      </c>
    </row>
    <row r="7" spans="1:9" x14ac:dyDescent="0.3">
      <c r="A7" t="str">
        <f t="shared" si="0"/>
        <v>BO-BGLS2BA1</v>
      </c>
      <c r="B7" t="s">
        <v>29</v>
      </c>
      <c r="C7" t="s">
        <v>33</v>
      </c>
      <c r="D7" s="1">
        <v>299.97000000000003</v>
      </c>
      <c r="E7" s="3">
        <v>80</v>
      </c>
      <c r="F7" s="3">
        <v>600</v>
      </c>
      <c r="G7" s="2">
        <v>3.5</v>
      </c>
      <c r="H7" s="2">
        <v>8</v>
      </c>
      <c r="I7" s="1">
        <v>4.5</v>
      </c>
    </row>
    <row r="8" spans="1:9" x14ac:dyDescent="0.3">
      <c r="A8" t="str">
        <f t="shared" si="0"/>
        <v>AM-VM 1054 Silo</v>
      </c>
      <c r="B8" t="s">
        <v>24</v>
      </c>
      <c r="C8" t="s">
        <v>25</v>
      </c>
      <c r="D8" s="1">
        <v>299.99</v>
      </c>
      <c r="E8" s="3">
        <v>79</v>
      </c>
      <c r="F8" s="3">
        <v>850</v>
      </c>
      <c r="G8" s="2">
        <v>2</v>
      </c>
      <c r="H8" s="2">
        <v>7.5</v>
      </c>
      <c r="I8" s="1">
        <v>4.8</v>
      </c>
    </row>
    <row r="9" spans="1:9" x14ac:dyDescent="0.3">
      <c r="A9" t="str">
        <f t="shared" si="0"/>
        <v>AM-Fen Turbo VM 2062</v>
      </c>
      <c r="B9" t="s">
        <v>24</v>
      </c>
      <c r="C9" t="s">
        <v>41</v>
      </c>
      <c r="D9" s="1">
        <v>299.99</v>
      </c>
      <c r="E9" s="3">
        <v>76</v>
      </c>
      <c r="F9" s="3">
        <v>850</v>
      </c>
      <c r="G9" s="2">
        <v>3</v>
      </c>
      <c r="H9" s="2">
        <v>8</v>
      </c>
      <c r="I9" s="1">
        <v>6.4</v>
      </c>
    </row>
    <row r="10" spans="1:9" x14ac:dyDescent="0.3">
      <c r="A10" t="str">
        <f t="shared" si="0"/>
        <v>AM-Bagio Eco VM 3045</v>
      </c>
      <c r="B10" t="s">
        <v>24</v>
      </c>
      <c r="C10" t="s">
        <v>34</v>
      </c>
      <c r="D10" s="1">
        <v>349</v>
      </c>
      <c r="E10" s="3">
        <v>79</v>
      </c>
      <c r="F10" s="3">
        <v>850</v>
      </c>
      <c r="G10" s="2">
        <v>1.5</v>
      </c>
      <c r="H10" s="2">
        <v>8</v>
      </c>
      <c r="I10" s="1">
        <v>6.1</v>
      </c>
    </row>
    <row r="11" spans="1:9" x14ac:dyDescent="0.3">
      <c r="A11" t="str">
        <f t="shared" si="0"/>
        <v>TE-Compact Power TW3931</v>
      </c>
      <c r="B11" t="s">
        <v>13</v>
      </c>
      <c r="C11" t="s">
        <v>35</v>
      </c>
      <c r="D11" s="1">
        <v>379.99</v>
      </c>
      <c r="E11" s="3">
        <v>79</v>
      </c>
      <c r="F11" s="3">
        <v>750</v>
      </c>
      <c r="G11" s="2">
        <v>3</v>
      </c>
      <c r="H11" s="2">
        <v>8.8000000000000007</v>
      </c>
      <c r="I11" s="1">
        <v>3.68</v>
      </c>
    </row>
    <row r="12" spans="1:9" x14ac:dyDescent="0.3">
      <c r="A12" t="str">
        <f t="shared" si="0"/>
        <v>ZE-Kuba</v>
      </c>
      <c r="B12" t="s">
        <v>21</v>
      </c>
      <c r="C12" t="s">
        <v>22</v>
      </c>
      <c r="D12" s="1">
        <v>399</v>
      </c>
      <c r="E12" s="3">
        <v>76</v>
      </c>
      <c r="F12" s="3">
        <v>650</v>
      </c>
      <c r="G12" s="2">
        <v>3</v>
      </c>
      <c r="H12" s="2">
        <v>7.85</v>
      </c>
      <c r="I12" s="1">
        <v>4.75</v>
      </c>
    </row>
    <row r="13" spans="1:9" x14ac:dyDescent="0.3">
      <c r="A13" t="str">
        <f t="shared" si="0"/>
        <v>AM-Fen Turbo Pro VM 2064</v>
      </c>
      <c r="B13" t="s">
        <v>24</v>
      </c>
      <c r="C13" t="s">
        <v>50</v>
      </c>
      <c r="D13" s="1">
        <v>399.97</v>
      </c>
      <c r="E13" s="3">
        <v>76</v>
      </c>
      <c r="F13" s="3">
        <v>850</v>
      </c>
      <c r="G13" s="2">
        <v>3</v>
      </c>
      <c r="H13" s="2">
        <v>8</v>
      </c>
      <c r="I13" s="1">
        <v>6.5</v>
      </c>
    </row>
    <row r="14" spans="1:9" x14ac:dyDescent="0.3">
      <c r="A14" t="str">
        <f t="shared" si="0"/>
        <v>EL-Clean 300</v>
      </c>
      <c r="B14" t="s">
        <v>11</v>
      </c>
      <c r="C14" t="s">
        <v>17</v>
      </c>
      <c r="D14" s="1">
        <v>399.99</v>
      </c>
      <c r="E14" s="3">
        <v>78</v>
      </c>
      <c r="F14" s="3">
        <v>650</v>
      </c>
      <c r="G14" s="2">
        <v>3</v>
      </c>
      <c r="H14" s="2">
        <v>7.5</v>
      </c>
      <c r="I14" s="1">
        <v>4.8</v>
      </c>
    </row>
    <row r="15" spans="1:9" x14ac:dyDescent="0.3">
      <c r="A15" t="str">
        <f t="shared" si="0"/>
        <v>GO-VC900</v>
      </c>
      <c r="B15" t="s">
        <v>18</v>
      </c>
      <c r="C15" t="s">
        <v>44</v>
      </c>
      <c r="D15" s="1">
        <v>498.22</v>
      </c>
      <c r="E15" s="3">
        <v>70</v>
      </c>
      <c r="F15" s="3">
        <v>800</v>
      </c>
      <c r="G15" s="2">
        <v>2.5</v>
      </c>
      <c r="H15" s="2">
        <v>7.5</v>
      </c>
      <c r="I15" s="1">
        <v>8</v>
      </c>
    </row>
    <row r="16" spans="1:9" x14ac:dyDescent="0.3">
      <c r="A16" t="str">
        <f t="shared" si="0"/>
        <v>AM-Sharq VM 7011</v>
      </c>
      <c r="B16" t="s">
        <v>24</v>
      </c>
      <c r="C16" t="s">
        <v>40</v>
      </c>
      <c r="D16" s="1">
        <v>524.99</v>
      </c>
      <c r="E16" s="3">
        <v>61</v>
      </c>
      <c r="F16" s="3">
        <v>700</v>
      </c>
      <c r="G16" s="2">
        <v>3.5</v>
      </c>
      <c r="H16" s="2">
        <v>10</v>
      </c>
      <c r="I16" s="1">
        <v>8.5</v>
      </c>
    </row>
    <row r="17" spans="1:9" x14ac:dyDescent="0.3">
      <c r="A17" t="str">
        <f t="shared" si="0"/>
        <v>PH-Series 2000 XB2125/09</v>
      </c>
      <c r="B17" t="s">
        <v>48</v>
      </c>
      <c r="C17" t="s">
        <v>49</v>
      </c>
      <c r="D17" s="1">
        <v>529</v>
      </c>
      <c r="E17" s="3">
        <v>77</v>
      </c>
      <c r="F17" s="3">
        <v>750</v>
      </c>
      <c r="G17" s="2">
        <v>1.3</v>
      </c>
      <c r="H17" s="2">
        <v>9</v>
      </c>
      <c r="I17" s="1">
        <v>4</v>
      </c>
    </row>
    <row r="18" spans="1:9" x14ac:dyDescent="0.3">
      <c r="A18" t="str">
        <f t="shared" si="0"/>
        <v>TE-Compact Power XXL Total Clean</v>
      </c>
      <c r="B18" t="s">
        <v>13</v>
      </c>
      <c r="C18" t="s">
        <v>14</v>
      </c>
      <c r="D18" s="1">
        <v>548</v>
      </c>
      <c r="E18" s="3">
        <v>75</v>
      </c>
      <c r="F18" s="3">
        <v>750</v>
      </c>
      <c r="G18" s="2">
        <v>2.5</v>
      </c>
      <c r="H18" s="2">
        <v>8.8000000000000007</v>
      </c>
      <c r="I18" s="1">
        <v>6.3</v>
      </c>
    </row>
    <row r="19" spans="1:9" x14ac:dyDescent="0.3">
      <c r="A19" t="str">
        <f t="shared" si="0"/>
        <v>BO-BGS05A322</v>
      </c>
      <c r="B19" t="s">
        <v>29</v>
      </c>
      <c r="C19" t="s">
        <v>32</v>
      </c>
      <c r="D19" s="1">
        <v>549</v>
      </c>
      <c r="E19" s="3">
        <v>78</v>
      </c>
      <c r="F19" s="3">
        <v>700</v>
      </c>
      <c r="G19" s="2">
        <v>1.5</v>
      </c>
      <c r="H19" s="2">
        <v>10</v>
      </c>
      <c r="I19" s="1">
        <v>4.4000000000000004</v>
      </c>
    </row>
    <row r="20" spans="1:9" x14ac:dyDescent="0.3">
      <c r="A20" t="str">
        <f t="shared" si="0"/>
        <v>ZE-Antek</v>
      </c>
      <c r="B20" t="s">
        <v>21</v>
      </c>
      <c r="C20" t="s">
        <v>51</v>
      </c>
      <c r="D20" s="1">
        <v>549</v>
      </c>
      <c r="E20" s="3">
        <v>76</v>
      </c>
      <c r="F20" s="3">
        <v>900</v>
      </c>
      <c r="G20" s="2">
        <v>3.5</v>
      </c>
      <c r="H20" s="2">
        <v>8.8000000000000007</v>
      </c>
      <c r="I20" s="1">
        <v>4.5</v>
      </c>
    </row>
    <row r="21" spans="1:9" x14ac:dyDescent="0.3">
      <c r="A21" t="str">
        <f t="shared" si="0"/>
        <v>EL-Clean 500</v>
      </c>
      <c r="B21" t="s">
        <v>11</v>
      </c>
      <c r="C21" t="s">
        <v>31</v>
      </c>
      <c r="D21" s="1">
        <v>599.97</v>
      </c>
      <c r="E21" s="3">
        <v>78</v>
      </c>
      <c r="F21" s="3">
        <v>650</v>
      </c>
      <c r="G21" s="2">
        <v>3</v>
      </c>
      <c r="H21" s="2">
        <v>8.5</v>
      </c>
      <c r="I21" s="1">
        <v>5.67</v>
      </c>
    </row>
    <row r="22" spans="1:9" x14ac:dyDescent="0.3">
      <c r="A22" t="str">
        <f t="shared" si="0"/>
        <v>EL-PowerForce</v>
      </c>
      <c r="B22" t="s">
        <v>11</v>
      </c>
      <c r="C22" t="s">
        <v>12</v>
      </c>
      <c r="D22" s="1">
        <v>659.99</v>
      </c>
      <c r="E22" s="3">
        <v>77</v>
      </c>
      <c r="F22" s="3">
        <v>700</v>
      </c>
      <c r="G22" s="2">
        <v>3.5</v>
      </c>
      <c r="H22" s="2">
        <v>9</v>
      </c>
      <c r="I22" s="1">
        <v>6.01</v>
      </c>
    </row>
    <row r="23" spans="1:9" x14ac:dyDescent="0.3">
      <c r="A23" t="str">
        <f t="shared" si="0"/>
        <v>EL-seria 600</v>
      </c>
      <c r="B23" t="s">
        <v>7</v>
      </c>
      <c r="C23" t="s">
        <v>28</v>
      </c>
      <c r="D23" s="1">
        <v>689</v>
      </c>
      <c r="E23" s="3">
        <v>73</v>
      </c>
      <c r="F23" s="3">
        <v>750</v>
      </c>
      <c r="G23" s="2">
        <v>3.5</v>
      </c>
      <c r="H23" s="2">
        <v>12</v>
      </c>
      <c r="I23" s="1">
        <v>7.43</v>
      </c>
    </row>
    <row r="24" spans="1:9" x14ac:dyDescent="0.3">
      <c r="A24" t="str">
        <f t="shared" si="0"/>
        <v>BO-BGB6X330</v>
      </c>
      <c r="B24" t="s">
        <v>29</v>
      </c>
      <c r="C24" t="s">
        <v>30</v>
      </c>
      <c r="D24" s="1">
        <v>798.44</v>
      </c>
      <c r="E24" s="3">
        <v>75</v>
      </c>
      <c r="F24" s="3">
        <v>600</v>
      </c>
      <c r="G24" s="2">
        <v>4</v>
      </c>
      <c r="H24" s="2">
        <v>12</v>
      </c>
      <c r="I24" s="1">
        <v>6</v>
      </c>
    </row>
    <row r="25" spans="1:9" x14ac:dyDescent="0.3">
      <c r="A25" t="str">
        <f t="shared" si="0"/>
        <v>HO-H-Energy 300</v>
      </c>
      <c r="B25" t="s">
        <v>9</v>
      </c>
      <c r="C25" t="s">
        <v>16</v>
      </c>
      <c r="D25" s="1">
        <v>799.99</v>
      </c>
      <c r="E25" s="3">
        <v>73</v>
      </c>
      <c r="F25" s="3">
        <v>850</v>
      </c>
      <c r="G25" s="2">
        <v>4</v>
      </c>
      <c r="H25" s="2">
        <v>10</v>
      </c>
      <c r="I25" s="1">
        <v>3.92</v>
      </c>
    </row>
    <row r="26" spans="1:9" x14ac:dyDescent="0.3">
      <c r="A26" t="str">
        <f t="shared" si="0"/>
        <v>BO-BGL6POW1</v>
      </c>
      <c r="B26" t="s">
        <v>29</v>
      </c>
      <c r="C26" t="s">
        <v>38</v>
      </c>
      <c r="D26" s="1">
        <v>799.99</v>
      </c>
      <c r="E26" s="3">
        <v>76</v>
      </c>
      <c r="F26" s="3">
        <v>850</v>
      </c>
      <c r="G26" s="2">
        <v>4</v>
      </c>
      <c r="H26" s="2">
        <v>12</v>
      </c>
      <c r="I26" s="1">
        <v>4.3</v>
      </c>
    </row>
    <row r="27" spans="1:9" x14ac:dyDescent="0.3">
      <c r="A27" t="str">
        <f t="shared" si="0"/>
        <v>HO-H-Energy 500</v>
      </c>
      <c r="B27" t="s">
        <v>9</v>
      </c>
      <c r="C27" t="s">
        <v>20</v>
      </c>
      <c r="D27" s="1">
        <v>899.97</v>
      </c>
      <c r="E27" s="3">
        <v>67</v>
      </c>
      <c r="F27" s="3">
        <v>700</v>
      </c>
      <c r="G27" s="2">
        <v>4</v>
      </c>
      <c r="H27" s="2">
        <v>10</v>
      </c>
      <c r="I27" s="1">
        <v>5.0999999999999996</v>
      </c>
    </row>
    <row r="28" spans="1:9" x14ac:dyDescent="0.3">
      <c r="A28" t="str">
        <f t="shared" si="0"/>
        <v>EL-Silence PD82-4MB</v>
      </c>
      <c r="B28" t="s">
        <v>11</v>
      </c>
      <c r="C28" t="s">
        <v>39</v>
      </c>
      <c r="D28" s="1">
        <v>899.99</v>
      </c>
      <c r="E28" s="3">
        <v>57</v>
      </c>
      <c r="F28" s="3">
        <v>500</v>
      </c>
      <c r="G28" s="2">
        <v>3.5</v>
      </c>
      <c r="H28" s="2">
        <v>12</v>
      </c>
      <c r="I28" s="1">
        <v>7.2</v>
      </c>
    </row>
    <row r="29" spans="1:9" x14ac:dyDescent="0.3">
      <c r="A29" t="str">
        <f t="shared" si="0"/>
        <v>EL-Silence PD82-ALRG</v>
      </c>
      <c r="B29" t="s">
        <v>11</v>
      </c>
      <c r="C29" t="s">
        <v>8</v>
      </c>
      <c r="D29" s="1">
        <v>989</v>
      </c>
      <c r="E29" s="3">
        <v>57</v>
      </c>
      <c r="F29" s="3">
        <v>500</v>
      </c>
      <c r="G29" s="2">
        <v>3.5</v>
      </c>
      <c r="H29" s="2">
        <v>12</v>
      </c>
      <c r="I29" s="1">
        <v>7.28</v>
      </c>
    </row>
    <row r="30" spans="1:9" x14ac:dyDescent="0.3">
      <c r="A30" t="str">
        <f t="shared" si="0"/>
        <v>HO-H-Energy 700</v>
      </c>
      <c r="B30" t="s">
        <v>9</v>
      </c>
      <c r="C30" t="s">
        <v>10</v>
      </c>
      <c r="D30" s="1">
        <v>999.97</v>
      </c>
      <c r="E30" s="3">
        <v>66</v>
      </c>
      <c r="F30" s="3">
        <v>850</v>
      </c>
      <c r="G30" s="2">
        <v>6</v>
      </c>
      <c r="H30" s="2">
        <v>10</v>
      </c>
      <c r="I30" s="1">
        <v>5.3</v>
      </c>
    </row>
    <row r="31" spans="1:9" x14ac:dyDescent="0.3">
      <c r="A31" t="str">
        <f t="shared" si="0"/>
        <v>MI-Boost CX1 PowerLine</v>
      </c>
      <c r="B31" t="s">
        <v>26</v>
      </c>
      <c r="C31" t="s">
        <v>27</v>
      </c>
      <c r="D31" s="1">
        <v>1199</v>
      </c>
      <c r="E31" s="3">
        <v>78</v>
      </c>
      <c r="F31" s="3">
        <v>890</v>
      </c>
      <c r="G31" s="2">
        <v>1</v>
      </c>
      <c r="H31" s="2">
        <v>10</v>
      </c>
      <c r="I31" s="1">
        <v>7.75</v>
      </c>
    </row>
  </sheetData>
  <sortState xmlns:xlrd2="http://schemas.microsoft.com/office/spreadsheetml/2017/richdata2" ref="A2:I31">
    <sortCondition ref="D1:D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3F80-199B-4605-9A0E-154BDD68DE0F}">
  <dimension ref="A1:G32"/>
  <sheetViews>
    <sheetView tabSelected="1" workbookViewId="0">
      <selection activeCell="N22" sqref="N22"/>
    </sheetView>
  </sheetViews>
  <sheetFormatPr defaultRowHeight="14.4" x14ac:dyDescent="0.3"/>
  <cols>
    <col min="1" max="1" width="30.21875" bestFit="1" customWidth="1"/>
    <col min="3" max="3" width="9.109375" bestFit="1" customWidth="1"/>
    <col min="4" max="4" width="17.88671875" bestFit="1" customWidth="1"/>
    <col min="5" max="5" width="18.88671875" bestFit="1" customWidth="1"/>
    <col min="6" max="6" width="14.77734375" bestFit="1" customWidth="1"/>
  </cols>
  <sheetData>
    <row r="1" spans="1:7" x14ac:dyDescent="0.3">
      <c r="B1" t="s">
        <v>83</v>
      </c>
      <c r="C1" t="s">
        <v>83</v>
      </c>
      <c r="D1" t="s">
        <v>84</v>
      </c>
      <c r="E1" t="s">
        <v>84</v>
      </c>
      <c r="F1" t="s">
        <v>84</v>
      </c>
      <c r="G1" t="s">
        <v>83</v>
      </c>
    </row>
    <row r="2" spans="1:7" x14ac:dyDescent="0.3">
      <c r="A2" t="s">
        <v>52</v>
      </c>
      <c r="B2" t="s">
        <v>3</v>
      </c>
      <c r="C2" t="s">
        <v>86</v>
      </c>
      <c r="D2" t="s">
        <v>85</v>
      </c>
      <c r="E2" t="s">
        <v>87</v>
      </c>
      <c r="F2" t="s">
        <v>88</v>
      </c>
      <c r="G2" t="s">
        <v>89</v>
      </c>
    </row>
    <row r="3" spans="1:7" x14ac:dyDescent="0.3">
      <c r="A3" t="s">
        <v>53</v>
      </c>
      <c r="B3">
        <v>229.99</v>
      </c>
      <c r="C3">
        <v>77</v>
      </c>
      <c r="D3">
        <v>700</v>
      </c>
      <c r="E3">
        <v>1.2</v>
      </c>
      <c r="F3">
        <v>7.5</v>
      </c>
      <c r="G3">
        <v>4.5999999999999996</v>
      </c>
    </row>
    <row r="4" spans="1:7" x14ac:dyDescent="0.3">
      <c r="A4" t="s">
        <v>54</v>
      </c>
      <c r="B4">
        <v>235.59</v>
      </c>
      <c r="C4">
        <v>78</v>
      </c>
      <c r="D4">
        <v>800</v>
      </c>
      <c r="E4">
        <v>1</v>
      </c>
      <c r="F4">
        <v>8</v>
      </c>
      <c r="G4">
        <v>4.5</v>
      </c>
    </row>
    <row r="5" spans="1:7" x14ac:dyDescent="0.3">
      <c r="A5" t="s">
        <v>55</v>
      </c>
      <c r="B5">
        <v>239.35</v>
      </c>
      <c r="C5">
        <v>80</v>
      </c>
      <c r="D5">
        <v>700</v>
      </c>
      <c r="E5">
        <v>1.5</v>
      </c>
      <c r="F5">
        <v>8</v>
      </c>
      <c r="G5">
        <v>4.2</v>
      </c>
    </row>
    <row r="6" spans="1:7" x14ac:dyDescent="0.3">
      <c r="A6" t="s">
        <v>56</v>
      </c>
      <c r="B6">
        <v>249</v>
      </c>
      <c r="C6">
        <v>80</v>
      </c>
      <c r="D6">
        <v>800</v>
      </c>
      <c r="E6">
        <v>2.1</v>
      </c>
      <c r="F6">
        <v>7.5</v>
      </c>
      <c r="G6">
        <v>4.5999999999999996</v>
      </c>
    </row>
    <row r="7" spans="1:7" x14ac:dyDescent="0.3">
      <c r="A7" t="s">
        <v>57</v>
      </c>
      <c r="B7">
        <v>299.95</v>
      </c>
      <c r="C7">
        <v>80</v>
      </c>
      <c r="D7">
        <v>700</v>
      </c>
      <c r="E7">
        <v>2</v>
      </c>
      <c r="F7">
        <v>7.7</v>
      </c>
      <c r="G7">
        <v>5.7</v>
      </c>
    </row>
    <row r="8" spans="1:7" x14ac:dyDescent="0.3">
      <c r="A8" t="s">
        <v>58</v>
      </c>
      <c r="B8">
        <v>299.97000000000003</v>
      </c>
      <c r="C8">
        <v>80</v>
      </c>
      <c r="D8">
        <v>600</v>
      </c>
      <c r="E8">
        <v>3.5</v>
      </c>
      <c r="F8">
        <v>8</v>
      </c>
      <c r="G8">
        <v>4.5</v>
      </c>
    </row>
    <row r="9" spans="1:7" x14ac:dyDescent="0.3">
      <c r="A9" t="s">
        <v>59</v>
      </c>
      <c r="B9">
        <v>299.99</v>
      </c>
      <c r="C9">
        <v>79</v>
      </c>
      <c r="D9">
        <v>850</v>
      </c>
      <c r="E9">
        <v>2</v>
      </c>
      <c r="F9">
        <v>7.5</v>
      </c>
      <c r="G9">
        <v>4.8</v>
      </c>
    </row>
    <row r="10" spans="1:7" x14ac:dyDescent="0.3">
      <c r="A10" t="s">
        <v>60</v>
      </c>
      <c r="B10">
        <v>299.99</v>
      </c>
      <c r="C10">
        <v>76</v>
      </c>
      <c r="D10">
        <v>850</v>
      </c>
      <c r="E10">
        <v>3</v>
      </c>
      <c r="F10">
        <v>8</v>
      </c>
      <c r="G10">
        <v>6.4</v>
      </c>
    </row>
    <row r="11" spans="1:7" x14ac:dyDescent="0.3">
      <c r="A11" t="s">
        <v>61</v>
      </c>
      <c r="B11">
        <v>349</v>
      </c>
      <c r="C11">
        <v>79</v>
      </c>
      <c r="D11">
        <v>850</v>
      </c>
      <c r="E11">
        <v>1.5</v>
      </c>
      <c r="F11">
        <v>8</v>
      </c>
      <c r="G11">
        <v>6.1</v>
      </c>
    </row>
    <row r="12" spans="1:7" x14ac:dyDescent="0.3">
      <c r="A12" t="s">
        <v>62</v>
      </c>
      <c r="B12">
        <v>379.99</v>
      </c>
      <c r="C12">
        <v>79</v>
      </c>
      <c r="D12">
        <v>750</v>
      </c>
      <c r="E12">
        <v>3</v>
      </c>
      <c r="F12">
        <v>8.8000000000000007</v>
      </c>
      <c r="G12">
        <v>3.68</v>
      </c>
    </row>
    <row r="13" spans="1:7" x14ac:dyDescent="0.3">
      <c r="A13" t="s">
        <v>63</v>
      </c>
      <c r="B13">
        <v>399</v>
      </c>
      <c r="C13">
        <v>76</v>
      </c>
      <c r="D13">
        <v>650</v>
      </c>
      <c r="E13">
        <v>3</v>
      </c>
      <c r="F13">
        <v>7.85</v>
      </c>
      <c r="G13">
        <v>4.75</v>
      </c>
    </row>
    <row r="14" spans="1:7" x14ac:dyDescent="0.3">
      <c r="A14" t="s">
        <v>64</v>
      </c>
      <c r="B14">
        <v>399.97</v>
      </c>
      <c r="C14">
        <v>76</v>
      </c>
      <c r="D14">
        <v>850</v>
      </c>
      <c r="E14">
        <v>3</v>
      </c>
      <c r="F14">
        <v>8</v>
      </c>
      <c r="G14">
        <v>6.5</v>
      </c>
    </row>
    <row r="15" spans="1:7" x14ac:dyDescent="0.3">
      <c r="A15" t="s">
        <v>65</v>
      </c>
      <c r="B15">
        <v>399.99</v>
      </c>
      <c r="C15">
        <v>78</v>
      </c>
      <c r="D15">
        <v>650</v>
      </c>
      <c r="E15">
        <v>3</v>
      </c>
      <c r="F15">
        <v>7.5</v>
      </c>
      <c r="G15">
        <v>4.8</v>
      </c>
    </row>
    <row r="16" spans="1:7" x14ac:dyDescent="0.3">
      <c r="A16" t="s">
        <v>66</v>
      </c>
      <c r="B16">
        <v>498.22</v>
      </c>
      <c r="C16">
        <v>70</v>
      </c>
      <c r="D16">
        <v>800</v>
      </c>
      <c r="E16">
        <v>2.5</v>
      </c>
      <c r="F16">
        <v>7.5</v>
      </c>
      <c r="G16">
        <v>8</v>
      </c>
    </row>
    <row r="17" spans="1:7" x14ac:dyDescent="0.3">
      <c r="A17" t="s">
        <v>67</v>
      </c>
      <c r="B17">
        <v>524.99</v>
      </c>
      <c r="C17">
        <v>61</v>
      </c>
      <c r="D17">
        <v>700</v>
      </c>
      <c r="E17">
        <v>3.5</v>
      </c>
      <c r="F17">
        <v>10</v>
      </c>
      <c r="G17">
        <v>8.5</v>
      </c>
    </row>
    <row r="18" spans="1:7" x14ac:dyDescent="0.3">
      <c r="A18" t="s">
        <v>68</v>
      </c>
      <c r="B18">
        <v>529</v>
      </c>
      <c r="C18">
        <v>77</v>
      </c>
      <c r="D18">
        <v>750</v>
      </c>
      <c r="E18">
        <v>1.3</v>
      </c>
      <c r="F18">
        <v>9</v>
      </c>
      <c r="G18">
        <v>4</v>
      </c>
    </row>
    <row r="19" spans="1:7" x14ac:dyDescent="0.3">
      <c r="A19" t="s">
        <v>69</v>
      </c>
      <c r="B19">
        <v>548</v>
      </c>
      <c r="C19">
        <v>75</v>
      </c>
      <c r="D19">
        <v>750</v>
      </c>
      <c r="E19">
        <v>2.5</v>
      </c>
      <c r="F19">
        <v>8.8000000000000007</v>
      </c>
      <c r="G19">
        <v>6.3</v>
      </c>
    </row>
    <row r="20" spans="1:7" x14ac:dyDescent="0.3">
      <c r="A20" t="s">
        <v>70</v>
      </c>
      <c r="B20">
        <v>549</v>
      </c>
      <c r="C20">
        <v>78</v>
      </c>
      <c r="D20">
        <v>700</v>
      </c>
      <c r="E20">
        <v>1.5</v>
      </c>
      <c r="F20">
        <v>10</v>
      </c>
      <c r="G20">
        <v>4.4000000000000004</v>
      </c>
    </row>
    <row r="21" spans="1:7" x14ac:dyDescent="0.3">
      <c r="A21" t="s">
        <v>71</v>
      </c>
      <c r="B21">
        <v>549</v>
      </c>
      <c r="C21">
        <v>76</v>
      </c>
      <c r="D21">
        <v>900</v>
      </c>
      <c r="E21">
        <v>3.5</v>
      </c>
      <c r="F21">
        <v>8.8000000000000007</v>
      </c>
      <c r="G21">
        <v>4.5</v>
      </c>
    </row>
    <row r="22" spans="1:7" x14ac:dyDescent="0.3">
      <c r="A22" t="s">
        <v>72</v>
      </c>
      <c r="B22">
        <v>599.97</v>
      </c>
      <c r="C22">
        <v>78</v>
      </c>
      <c r="D22">
        <v>650</v>
      </c>
      <c r="E22">
        <v>3</v>
      </c>
      <c r="F22">
        <v>8.5</v>
      </c>
      <c r="G22">
        <v>5.67</v>
      </c>
    </row>
    <row r="23" spans="1:7" x14ac:dyDescent="0.3">
      <c r="A23" t="s">
        <v>73</v>
      </c>
      <c r="B23">
        <v>659.99</v>
      </c>
      <c r="C23">
        <v>77</v>
      </c>
      <c r="D23">
        <v>700</v>
      </c>
      <c r="E23">
        <v>3.5</v>
      </c>
      <c r="F23">
        <v>9</v>
      </c>
      <c r="G23">
        <v>6.01</v>
      </c>
    </row>
    <row r="24" spans="1:7" x14ac:dyDescent="0.3">
      <c r="A24" t="s">
        <v>74</v>
      </c>
      <c r="B24">
        <v>689</v>
      </c>
      <c r="C24">
        <v>73</v>
      </c>
      <c r="D24">
        <v>750</v>
      </c>
      <c r="E24">
        <v>3.5</v>
      </c>
      <c r="F24">
        <v>12</v>
      </c>
      <c r="G24">
        <v>7.43</v>
      </c>
    </row>
    <row r="25" spans="1:7" x14ac:dyDescent="0.3">
      <c r="A25" t="s">
        <v>75</v>
      </c>
      <c r="B25">
        <v>798.44</v>
      </c>
      <c r="C25">
        <v>75</v>
      </c>
      <c r="D25">
        <v>600</v>
      </c>
      <c r="E25">
        <v>4</v>
      </c>
      <c r="F25">
        <v>12</v>
      </c>
      <c r="G25">
        <v>6</v>
      </c>
    </row>
    <row r="26" spans="1:7" x14ac:dyDescent="0.3">
      <c r="A26" t="s">
        <v>76</v>
      </c>
      <c r="B26">
        <v>799.99</v>
      </c>
      <c r="C26">
        <v>73</v>
      </c>
      <c r="D26">
        <v>850</v>
      </c>
      <c r="E26">
        <v>4</v>
      </c>
      <c r="F26">
        <v>10</v>
      </c>
      <c r="G26">
        <v>3.92</v>
      </c>
    </row>
    <row r="27" spans="1:7" x14ac:dyDescent="0.3">
      <c r="A27" t="s">
        <v>77</v>
      </c>
      <c r="B27">
        <v>799.99</v>
      </c>
      <c r="C27">
        <v>76</v>
      </c>
      <c r="D27">
        <v>850</v>
      </c>
      <c r="E27">
        <v>4</v>
      </c>
      <c r="F27">
        <v>12</v>
      </c>
      <c r="G27">
        <v>4.3</v>
      </c>
    </row>
    <row r="28" spans="1:7" x14ac:dyDescent="0.3">
      <c r="A28" t="s">
        <v>78</v>
      </c>
      <c r="B28">
        <v>899.97</v>
      </c>
      <c r="C28">
        <v>67</v>
      </c>
      <c r="D28">
        <v>700</v>
      </c>
      <c r="E28">
        <v>4</v>
      </c>
      <c r="F28">
        <v>10</v>
      </c>
      <c r="G28">
        <v>5.0999999999999996</v>
      </c>
    </row>
    <row r="29" spans="1:7" x14ac:dyDescent="0.3">
      <c r="A29" t="s">
        <v>79</v>
      </c>
      <c r="B29">
        <v>899.99</v>
      </c>
      <c r="C29">
        <v>57</v>
      </c>
      <c r="D29">
        <v>500</v>
      </c>
      <c r="E29">
        <v>3.5</v>
      </c>
      <c r="F29">
        <v>12</v>
      </c>
      <c r="G29">
        <v>7.2</v>
      </c>
    </row>
    <row r="30" spans="1:7" x14ac:dyDescent="0.3">
      <c r="A30" t="s">
        <v>80</v>
      </c>
      <c r="B30">
        <v>989</v>
      </c>
      <c r="C30">
        <v>57</v>
      </c>
      <c r="D30">
        <v>500</v>
      </c>
      <c r="E30">
        <v>3.5</v>
      </c>
      <c r="F30">
        <v>12</v>
      </c>
      <c r="G30">
        <v>7.28</v>
      </c>
    </row>
    <row r="31" spans="1:7" x14ac:dyDescent="0.3">
      <c r="A31" t="s">
        <v>81</v>
      </c>
      <c r="B31">
        <v>999.97</v>
      </c>
      <c r="C31">
        <v>66</v>
      </c>
      <c r="D31">
        <v>850</v>
      </c>
      <c r="E31">
        <v>6</v>
      </c>
      <c r="F31">
        <v>10</v>
      </c>
      <c r="G31">
        <v>5.3</v>
      </c>
    </row>
    <row r="32" spans="1:7" x14ac:dyDescent="0.3">
      <c r="A32" t="s">
        <v>82</v>
      </c>
      <c r="B32">
        <v>1199</v>
      </c>
      <c r="C32">
        <v>78</v>
      </c>
      <c r="D32">
        <v>890</v>
      </c>
      <c r="E32">
        <v>1</v>
      </c>
      <c r="F32">
        <v>10</v>
      </c>
      <c r="G32">
        <v>7.75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380EF-7771-402C-A596-CC529675DFE6}">
  <dimension ref="A1"/>
  <sheetViews>
    <sheetView workbookViewId="0">
      <selection activeCell="H10" sqref="H10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Arkusz3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Suwiczak</dc:creator>
  <cp:lastModifiedBy>Kamil Suwiczak</cp:lastModifiedBy>
  <dcterms:created xsi:type="dcterms:W3CDTF">2015-06-05T18:19:34Z</dcterms:created>
  <dcterms:modified xsi:type="dcterms:W3CDTF">2025-11-22T18:19:06Z</dcterms:modified>
</cp:coreProperties>
</file>